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D79C72F-3CD3-4ACC-9CF8-EF7217EB43CD}" xr6:coauthVersionLast="47" xr6:coauthVersionMax="47" xr10:uidLastSave="{00000000-0000-0000-0000-000000000000}"/>
  <bookViews>
    <workbookView xWindow="-110" yWindow="-110" windowWidth="19420" windowHeight="10300" activeTab="1" xr2:uid="{D83C7296-75C0-4205-8702-806D1A9302A7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P2" i="1" a="1"/>
  <c r="P2" i="1" s="1"/>
  <c r="N2" i="1"/>
  <c r="M2" i="1"/>
  <c r="L2" i="1"/>
  <c r="K2" i="1"/>
  <c r="J3" i="1"/>
  <c r="J2" i="1"/>
  <c r="I6" i="1"/>
  <c r="I5" i="1"/>
  <c r="I4" i="1"/>
  <c r="I2" i="1"/>
  <c r="I3" i="1"/>
  <c r="H6" i="1"/>
  <c r="H5" i="1"/>
  <c r="H4" i="1"/>
  <c r="H3" i="1"/>
  <c r="H2" i="1"/>
  <c r="G6" i="1"/>
  <c r="G5" i="1"/>
  <c r="G4" i="1"/>
  <c r="G3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<sst xmlns="http://schemas.openxmlformats.org/spreadsheetml/2006/main" count="59" uniqueCount="27">
  <si>
    <t>job_title</t>
  </si>
  <si>
    <t>salary</t>
  </si>
  <si>
    <t>AI Engineer</t>
  </si>
  <si>
    <t>Yes</t>
  </si>
  <si>
    <t>No</t>
  </si>
  <si>
    <t>Hybrid</t>
  </si>
  <si>
    <t>Data Analyst</t>
  </si>
  <si>
    <t>Software Engineer</t>
  </si>
  <si>
    <t>Backend Developer</t>
  </si>
  <si>
    <t>Frontend Developer</t>
  </si>
  <si>
    <t>remote</t>
  </si>
  <si>
    <t>experience</t>
  </si>
  <si>
    <t>Avg Salary</t>
  </si>
  <si>
    <t>COUNTIF</t>
  </si>
  <si>
    <t>Row Labels</t>
  </si>
  <si>
    <t>Grand Total</t>
  </si>
  <si>
    <t>Average of salary</t>
  </si>
  <si>
    <t>Job_Title</t>
  </si>
  <si>
    <t>Total Salary</t>
  </si>
  <si>
    <t>MAX/MIN</t>
  </si>
  <si>
    <t>IF</t>
  </si>
  <si>
    <t>COUNTIFS</t>
  </si>
  <si>
    <t>SUMIFS</t>
  </si>
  <si>
    <t>AVERAGEIFS</t>
  </si>
  <si>
    <t>UNIQUE</t>
  </si>
  <si>
    <t>TEXT/CONTACT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</si>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</sst>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5.511026504631" createdVersion="8" refreshedVersion="8" minRefreshableVersion="3" recordCount="15" xr:uid="{AC4101E0-6455-44BF-821C-75740387BF8C}">
  <cacheSource type="worksheet">
    <worksheetSource ref="A1:D16" sheet="Sheet1"/>
  </cacheSource>
  <cacheFields count="4">
    <cacheField name="job_title" numFmtId="0">
      <sharedItems count="5">
        <s v="AI Engineer"/>
        <s v="Data Analyst"/>
        <s v="Software Engineer"/>
        <s v="Backend Developer"/>
        <s v="Frontend Developer"/>
      </sharedItems>
    </cacheField>
    <cacheField name="experience" numFmtId="0">
      <sharedItems containsSemiMixedTypes="0" containsString="0" containsNumber="1" containsInteger="1" minValue="1" maxValue="6" count="6">
        <n v="2"/>
        <n v="3"/>
        <n v="5"/>
        <n v="1"/>
        <n v="4"/>
        <n v="6"/>
      </sharedItems>
    </cacheField>
    <cacheField name="remote" numFmtId="0">
      <sharedItems count="3">
        <s v="Yes"/>
        <s v="No"/>
        <s v="Hybrid"/>
      </sharedItems>
    </cacheField>
    <cacheField name="salary" numFmtId="0">
      <sharedItems containsSemiMixedTypes="0" containsString="0" containsNumber="1" containsInteger="1" minValue="90000" maxValue="1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150000"/>
  </r>
  <r>
    <x v="0"/>
    <x v="1"/>
    <x v="1"/>
    <n v="140000"/>
  </r>
  <r>
    <x v="0"/>
    <x v="2"/>
    <x v="2"/>
    <n v="160000"/>
  </r>
  <r>
    <x v="1"/>
    <x v="3"/>
    <x v="0"/>
    <n v="90000"/>
  </r>
  <r>
    <x v="1"/>
    <x v="0"/>
    <x v="1"/>
    <n v="95000"/>
  </r>
  <r>
    <x v="1"/>
    <x v="1"/>
    <x v="2"/>
    <n v="100000"/>
  </r>
  <r>
    <x v="2"/>
    <x v="4"/>
    <x v="2"/>
    <n v="130000"/>
  </r>
  <r>
    <x v="2"/>
    <x v="2"/>
    <x v="0"/>
    <n v="135000"/>
  </r>
  <r>
    <x v="2"/>
    <x v="5"/>
    <x v="1"/>
    <n v="125000"/>
  </r>
  <r>
    <x v="3"/>
    <x v="1"/>
    <x v="1"/>
    <n v="120000"/>
  </r>
  <r>
    <x v="3"/>
    <x v="4"/>
    <x v="0"/>
    <n v="125000"/>
  </r>
  <r>
    <x v="3"/>
    <x v="2"/>
    <x v="2"/>
    <n v="130000"/>
  </r>
  <r>
    <x v="4"/>
    <x v="0"/>
    <x v="0"/>
    <n v="110000"/>
  </r>
  <r>
    <x v="4"/>
    <x v="1"/>
    <x v="1"/>
    <n v="115000"/>
  </r>
  <r>
    <x v="4"/>
    <x v="4"/>
    <x v="2"/>
    <n v="1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C246A-9C06-43F2-89E9-A5B80C6B53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axis="axisRow" showAll="0">
      <items count="6">
        <item x="0"/>
        <item x="3"/>
        <item x="1"/>
        <item x="4"/>
        <item x="2"/>
        <item t="default"/>
      </items>
    </pivotField>
    <pivotField showAll="0">
      <items count="7">
        <item x="3"/>
        <item x="0"/>
        <item x="1"/>
        <item x="4"/>
        <item x="2"/>
        <item x="5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701E-F71A-4AFA-91F8-E84F623908AB}">
  <dimension ref="A3:B9"/>
  <sheetViews>
    <sheetView workbookViewId="0">
      <selection activeCell="G14" sqref="G14"/>
    </sheetView>
  </sheetViews>
  <sheetFormatPr defaultRowHeight="14.5" x14ac:dyDescent="0.35"/>
  <cols>
    <col min="1" max="1" width="17.6328125" bestFit="1" customWidth="1"/>
    <col min="2" max="4" width="15.1796875" bestFit="1" customWidth="1"/>
  </cols>
  <sheetData>
    <row r="3" spans="1:2" x14ac:dyDescent="0.35">
      <c r="A3" s="1" t="s">
        <v>14</v>
      </c>
      <c r="B3" t="s">
        <v>16</v>
      </c>
    </row>
    <row r="4" spans="1:2" x14ac:dyDescent="0.35">
      <c r="A4" s="2" t="s">
        <v>2</v>
      </c>
      <c r="B4">
        <v>150000</v>
      </c>
    </row>
    <row r="5" spans="1:2" x14ac:dyDescent="0.35">
      <c r="A5" s="2" t="s">
        <v>8</v>
      </c>
      <c r="B5">
        <v>125000</v>
      </c>
    </row>
    <row r="6" spans="1:2" x14ac:dyDescent="0.35">
      <c r="A6" s="2" t="s">
        <v>6</v>
      </c>
      <c r="B6">
        <v>95000</v>
      </c>
    </row>
    <row r="7" spans="1:2" x14ac:dyDescent="0.35">
      <c r="A7" s="2" t="s">
        <v>9</v>
      </c>
      <c r="B7">
        <v>115000</v>
      </c>
    </row>
    <row r="8" spans="1:2" x14ac:dyDescent="0.35">
      <c r="A8" s="2" t="s">
        <v>7</v>
      </c>
      <c r="B8">
        <v>130000</v>
      </c>
    </row>
    <row r="9" spans="1:2" x14ac:dyDescent="0.35">
      <c r="A9" s="2" t="s">
        <v>15</v>
      </c>
      <c r="B9">
        <v>123000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C1DF-A219-4099-BADA-A0DB55C70241}">
  <dimension ref="A1:R16"/>
  <sheetViews>
    <sheetView tabSelected="1" workbookViewId="0">
      <selection activeCell="M4" sqref="M4"/>
    </sheetView>
  </sheetViews>
  <sheetFormatPr defaultRowHeight="14.5" x14ac:dyDescent="0.35"/>
  <sheetData>
    <row r="1" spans="1:18" x14ac:dyDescent="0.35">
      <c r="A1" t="s">
        <v>0</v>
      </c>
      <c r="B1" t="s">
        <v>11</v>
      </c>
      <c r="C1" t="s">
        <v>10</v>
      </c>
      <c r="D1" t="s">
        <v>1</v>
      </c>
      <c r="E1" t="s">
        <v>17</v>
      </c>
      <c r="G1" t="s">
        <v>12</v>
      </c>
      <c r="H1" t="s">
        <v>18</v>
      </c>
      <c r="I1" t="s">
        <v>13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P1" t="s">
        <v>24</v>
      </c>
      <c r="Q1" t="s">
        <v>26</v>
      </c>
      <c r="R1" t="s">
        <v>25</v>
      </c>
    </row>
    <row r="2" spans="1:18" x14ac:dyDescent="0.35">
      <c r="A2" t="s">
        <v>2</v>
      </c>
      <c r="B2">
        <v>2</v>
      </c>
      <c r="C2" t="s">
        <v>3</v>
      </c>
      <c r="D2">
        <v>150000</v>
      </c>
      <c r="E2" t="s">
        <v>2</v>
      </c>
      <c r="G2">
        <f>AVERAGEIF(A:A, E2, D:D)</f>
        <v>150000</v>
      </c>
      <c r="H2">
        <f>SUMIF(A:A, E2, D:D)</f>
        <v>450000</v>
      </c>
      <c r="I2">
        <f>COUNTIF(A:A, E2)</f>
        <v>3</v>
      </c>
      <c r="J2">
        <f>MAX(D2:D16)</f>
        <v>160000</v>
      </c>
      <c r="K2" t="str">
        <f>IF(D2&gt;=120000,"High","Low")</f>
        <v>High</v>
      </c>
      <c r="L2" t="str">
        <f>IF(D2&gt;=120000,"High","Low")</f>
        <v>High</v>
      </c>
      <c r="M2">
        <f>SUMIFS(D:D,A:A,"AI Engineer",C:C,"Yes")</f>
        <v>150000</v>
      </c>
      <c r="N2">
        <f>AVERAGEIFS(D:D,A:A,"AI Engineer",C:C,"Yes")</f>
        <v>150000</v>
      </c>
      <c r="P2" t="str" cm="1">
        <f t="array" ref="P2:P6">_xlfn.UNIQUE(A2:A16)</f>
        <v>AI Engineer</v>
      </c>
      <c r="R2" t="str">
        <f>A2 &amp; " - " &amp; D2</f>
        <v>AI Engineer - 150000</v>
      </c>
    </row>
    <row r="3" spans="1:18" x14ac:dyDescent="0.35">
      <c r="A3" t="s">
        <v>2</v>
      </c>
      <c r="B3">
        <v>3</v>
      </c>
      <c r="C3" t="s">
        <v>4</v>
      </c>
      <c r="D3">
        <v>140000</v>
      </c>
      <c r="E3" t="s">
        <v>6</v>
      </c>
      <c r="G3">
        <f>AVERAGEIF(A:A, E3, D:D)</f>
        <v>95000</v>
      </c>
      <c r="H3">
        <f>SUMIF(A:A, E3, D:D)</f>
        <v>285000</v>
      </c>
      <c r="I3">
        <f>COUNTIF(A:A, E2)</f>
        <v>3</v>
      </c>
      <c r="J3">
        <f>MIN(D2:D16)</f>
        <v>90000</v>
      </c>
      <c r="P3" t="str">
        <v>Data Analyst</v>
      </c>
    </row>
    <row r="4" spans="1:18" x14ac:dyDescent="0.35">
      <c r="A4" t="s">
        <v>2</v>
      </c>
      <c r="B4">
        <v>5</v>
      </c>
      <c r="C4" t="s">
        <v>5</v>
      </c>
      <c r="D4">
        <v>160000</v>
      </c>
      <c r="E4" t="s">
        <v>7</v>
      </c>
      <c r="G4">
        <f>AVERAGEIF(A:A, E4, D:D)</f>
        <v>130000</v>
      </c>
      <c r="H4">
        <f>SUMIF(A:A, E4, D:D)</f>
        <v>390000</v>
      </c>
      <c r="I4">
        <f>COUNTIF(A:A, E2)</f>
        <v>3</v>
      </c>
      <c r="P4" t="str">
        <v>Software Engineer</v>
      </c>
    </row>
    <row r="5" spans="1:18" x14ac:dyDescent="0.35">
      <c r="A5" t="s">
        <v>6</v>
      </c>
      <c r="B5">
        <v>1</v>
      </c>
      <c r="C5" t="s">
        <v>3</v>
      </c>
      <c r="D5">
        <v>90000</v>
      </c>
      <c r="E5" t="s">
        <v>8</v>
      </c>
      <c r="G5">
        <f>AVERAGEIF(A:A, E5, D:D)</f>
        <v>125000</v>
      </c>
      <c r="H5">
        <f>SUMIF(A:A, E5, D:D)</f>
        <v>375000</v>
      </c>
      <c r="I5">
        <f>COUNTIF(A:A, E2)</f>
        <v>3</v>
      </c>
      <c r="P5" t="str">
        <v>Backend Developer</v>
      </c>
    </row>
    <row r="6" spans="1:18" x14ac:dyDescent="0.35">
      <c r="A6" t="s">
        <v>6</v>
      </c>
      <c r="B6">
        <v>2</v>
      </c>
      <c r="C6" t="s">
        <v>4</v>
      </c>
      <c r="D6">
        <v>95000</v>
      </c>
      <c r="E6" t="s">
        <v>9</v>
      </c>
      <c r="G6">
        <f>AVERAGEIF(A:A, E6, D:D)</f>
        <v>115000</v>
      </c>
      <c r="H6">
        <f>SUMIF(A:A, E6, D:D)</f>
        <v>345000</v>
      </c>
      <c r="I6">
        <f>COUNTIF(A:A, E6)</f>
        <v>3</v>
      </c>
      <c r="P6" t="str">
        <v>Frontend Developer</v>
      </c>
    </row>
    <row r="7" spans="1:18" x14ac:dyDescent="0.35">
      <c r="A7" t="s">
        <v>6</v>
      </c>
      <c r="B7">
        <v>3</v>
      </c>
      <c r="C7" t="s">
        <v>5</v>
      </c>
      <c r="D7">
        <v>100000</v>
      </c>
    </row>
    <row r="8" spans="1:18" x14ac:dyDescent="0.35">
      <c r="A8" t="s">
        <v>7</v>
      </c>
      <c r="B8">
        <v>4</v>
      </c>
      <c r="C8" t="s">
        <v>5</v>
      </c>
      <c r="D8">
        <v>130000</v>
      </c>
    </row>
    <row r="9" spans="1:18" x14ac:dyDescent="0.35">
      <c r="A9" t="s">
        <v>7</v>
      </c>
      <c r="B9">
        <v>5</v>
      </c>
      <c r="C9" t="s">
        <v>3</v>
      </c>
      <c r="D9">
        <v>135000</v>
      </c>
    </row>
    <row r="10" spans="1:18" x14ac:dyDescent="0.35">
      <c r="A10" t="s">
        <v>7</v>
      </c>
      <c r="B10">
        <v>6</v>
      </c>
      <c r="C10" t="s">
        <v>4</v>
      </c>
      <c r="D10">
        <v>125000</v>
      </c>
    </row>
    <row r="11" spans="1:18" x14ac:dyDescent="0.35">
      <c r="A11" t="s">
        <v>8</v>
      </c>
      <c r="B11">
        <v>3</v>
      </c>
      <c r="C11" t="s">
        <v>4</v>
      </c>
      <c r="D11">
        <v>120000</v>
      </c>
    </row>
    <row r="12" spans="1:18" x14ac:dyDescent="0.35">
      <c r="A12" t="s">
        <v>8</v>
      </c>
      <c r="B12">
        <v>4</v>
      </c>
      <c r="C12" t="s">
        <v>3</v>
      </c>
      <c r="D12">
        <v>125000</v>
      </c>
    </row>
    <row r="13" spans="1:18" x14ac:dyDescent="0.35">
      <c r="A13" t="s">
        <v>8</v>
      </c>
      <c r="B13">
        <v>5</v>
      </c>
      <c r="C13" t="s">
        <v>5</v>
      </c>
      <c r="D13">
        <v>130000</v>
      </c>
    </row>
    <row r="14" spans="1:18" x14ac:dyDescent="0.35">
      <c r="A14" t="s">
        <v>9</v>
      </c>
      <c r="B14">
        <v>2</v>
      </c>
      <c r="C14" t="s">
        <v>3</v>
      </c>
      <c r="D14">
        <v>110000</v>
      </c>
    </row>
    <row r="15" spans="1:18" x14ac:dyDescent="0.35">
      <c r="A15" t="s">
        <v>9</v>
      </c>
      <c r="B15">
        <v>3</v>
      </c>
      <c r="C15" t="s">
        <v>4</v>
      </c>
      <c r="D15">
        <v>115000</v>
      </c>
    </row>
    <row r="16" spans="1:18" x14ac:dyDescent="0.35">
      <c r="A16" t="s">
        <v>9</v>
      </c>
      <c r="B16">
        <v>4</v>
      </c>
      <c r="C16" t="s">
        <v>5</v>
      </c>
      <c r="D16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Kumar</dc:creator>
  <cp:lastModifiedBy>Hemanth Kumar</cp:lastModifiedBy>
  <dcterms:created xsi:type="dcterms:W3CDTF">2026-03-24T06:10:27Z</dcterms:created>
  <dcterms:modified xsi:type="dcterms:W3CDTF">2026-03-24T11:23:09Z</dcterms:modified>
</cp:coreProperties>
</file>